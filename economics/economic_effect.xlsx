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Volume Sensitivity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<sst xmlns="http://schemas.openxmlformats.org/spreadsheetml/2006/main" count="18" uniqueCount="17">
  <si>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Metric</t>
  </si>
  <si>
    <t>Conservative</t>
  </si>
  <si>
    <t>Base</t>
  </si>
  <si>
    <t>Optimistic</t>
  </si>
  <si>
    <t>Annual deal volume</t>
  </si>
  <si>
    <t>Minutes saved per deal</t>
  </si>
  <si>
    <t>Staff hourly cost, USD</t>
  </si>
  <si>
    <t>Avoided errors</t>
  </si>
  <si>
    <t>Average error cost, USD</t>
  </si>
  <si>
    <t>Implementation cost, USD</t>
  </si>
  <si>
    <t>Labor hours saved</t>
  </si>
  <si>
    <t>Labor cost saving, USD</t>
  </si>
  <si>
    <t>Error saving, USD</t>
  </si>
  <si>
    <t>Annual effect, USD</t>
  </si>
  <si>
    <t>ROI</t>
  </si>
  <si>
    <t>Payback months</t>
  </si>
  <si>
    <t>Deal volume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</si>
</sst>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Effect by 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Annual effect</c:v>
          </c:tx>
          <c:cat>
            <c:strRef>
              <c:f>Scenarios!$B$1:$D$1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Scenarios!$B$11:$D$11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8.7109375" customWidth="1"/>
    <col min="2" max="4" width="16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10000</v>
      </c>
      <c r="C2" s="2">
        <v>10000</v>
      </c>
      <c r="D2" s="2">
        <v>10000</v>
      </c>
    </row>
    <row r="3" spans="1:4">
      <c r="A3" s="2" t="s">
        <v>5</v>
      </c>
      <c r="B3" s="2">
        <v>6</v>
      </c>
      <c r="C3" s="2">
        <v>12</v>
      </c>
      <c r="D3" s="2">
        <v>18</v>
      </c>
    </row>
    <row r="4" spans="1:4">
      <c r="A4" s="2" t="s">
        <v>6</v>
      </c>
      <c r="B4" s="2">
        <v>32</v>
      </c>
      <c r="C4" s="2">
        <v>38</v>
      </c>
      <c r="D4" s="2">
        <v>44</v>
      </c>
    </row>
    <row r="5" spans="1:4">
      <c r="A5" s="2" t="s">
        <v>7</v>
      </c>
      <c r="B5" s="2">
        <v>18</v>
      </c>
      <c r="C5" s="2">
        <v>34</v>
      </c>
      <c r="D5" s="2">
        <v>48</v>
      </c>
    </row>
    <row r="6" spans="1:4">
      <c r="A6" s="2" t="s">
        <v>8</v>
      </c>
      <c r="B6" s="2">
        <v>180</v>
      </c>
      <c r="C6" s="2">
        <v>220</v>
      </c>
      <c r="D6" s="2">
        <v>260</v>
      </c>
    </row>
    <row r="7" spans="1:4">
      <c r="A7" s="2" t="s">
        <v>9</v>
      </c>
      <c r="B7" s="2">
        <v>120000</v>
      </c>
      <c r="C7" s="2">
        <v>150000</v>
      </c>
      <c r="D7" s="2">
        <v>190000</v>
      </c>
    </row>
    <row r="8" spans="1:4">
      <c r="A8" s="2" t="s">
        <v>10</v>
      </c>
      <c r="B8" s="2">
        <f>B2*B3/60</f>
        <v>0</v>
      </c>
      <c r="C8" s="2">
        <f>C2*C3/60</f>
        <v>0</v>
      </c>
      <c r="D8" s="2">
        <f>D2*D3/60</f>
        <v>0</v>
      </c>
    </row>
    <row r="9" spans="1:4">
      <c r="A9" s="2" t="s">
        <v>11</v>
      </c>
      <c r="B9" s="2">
        <f>B8*B4</f>
        <v>0</v>
      </c>
      <c r="C9" s="2">
        <f>C8*C4</f>
        <v>0</v>
      </c>
      <c r="D9" s="2">
        <f>D8*D4</f>
        <v>0</v>
      </c>
    </row>
    <row r="10" spans="1:4">
      <c r="A10" s="2" t="s">
        <v>12</v>
      </c>
      <c r="B10" s="2">
        <f>B5*B6</f>
        <v>0</v>
      </c>
      <c r="C10" s="2">
        <f>C5*C6</f>
        <v>0</v>
      </c>
      <c r="D10" s="2">
        <f>D5*D6</f>
        <v>0</v>
      </c>
    </row>
    <row r="11" spans="1:4">
      <c r="A11" s="2" t="s">
        <v>13</v>
      </c>
      <c r="B11" s="2">
        <f>B9+B10</f>
        <v>0</v>
      </c>
      <c r="C11" s="2">
        <f>C9+C10</f>
        <v>0</v>
      </c>
      <c r="D11" s="2">
        <f>D9+D10</f>
        <v>0</v>
      </c>
    </row>
    <row r="12" spans="1:4">
      <c r="A12" s="2" t="s">
        <v>14</v>
      </c>
      <c r="B12" s="2">
        <f>(B11-B7)/B7</f>
        <v>0</v>
      </c>
      <c r="C12" s="2">
        <f>(C11-C7)/C7</f>
        <v>0</v>
      </c>
      <c r="D12" s="2">
        <f>(D11-D7)/D7</f>
        <v>0</v>
      </c>
    </row>
    <row r="13" spans="1:4">
      <c r="A13" s="2" t="s">
        <v>15</v>
      </c>
      <c r="B13" s="2">
        <f>B7/(B11/12)</f>
        <v>0</v>
      </c>
      <c r="C13" s="2">
        <f>C7/(C11/12)</f>
        <v>0</v>
      </c>
      <c r="D13" s="2">
        <f>D7/(D11/12)</f>
        <v>0</v>
      </c>
    </row>
  </sheetData>
  <conditionalFormatting sqref="B12:D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20.7109375" customWidth="1"/>
  </cols>
  <sheetData>
    <row r="1" spans="1:2">
      <c r="A1" s="1" t="s">
        <v>16</v>
      </c>
      <c r="B1" s="1" t="s">
        <v>13</v>
      </c>
    </row>
    <row r="2" spans="1:2">
      <c r="A2" s="2">
        <v>5000</v>
      </c>
      <c r="B2" s="2">
        <f>A2*Scenarios!C3/60*Scenarios!C4+Scenarios!C5*Scenarios!C6</f>
        <v>0</v>
      </c>
    </row>
    <row r="3" spans="1:2">
      <c r="A3" s="2">
        <v>7500</v>
      </c>
      <c r="B3" s="2">
        <f>A3*Scenarios!C3/60*Scenarios!C4+Scenarios!C5*Scenarios!C6</f>
        <v>0</v>
      </c>
    </row>
    <row r="4" spans="1:2">
      <c r="A4" s="2">
        <v>10000</v>
      </c>
      <c r="B4" s="2">
        <f>A4*Scenarios!C3/60*Scenarios!C4+Scenarios!C5*Scenarios!C6</f>
        <v>0</v>
      </c>
    </row>
    <row r="5" spans="1:2">
      <c r="A5" s="2">
        <v>12500</v>
      </c>
      <c r="B5" s="2">
        <f>A5*Scenarios!C3/60*Scenarios!C4+Scenarios!C5*Scenarios!C6</f>
        <v>0</v>
      </c>
    </row>
    <row r="6" spans="1:2">
      <c r="A6" s="2">
        <v>15000</v>
      </c>
      <c r="B6" s="2">
        <f>A6*Scenarios!C3/60*Scenarios!C4+Scenarios!C5*Scenarios!C6</f>
        <v>0</v>
      </c>
    </row>
    <row r="7" spans="1:2">
      <c r="A7" s="2">
        <v>20000</v>
      </c>
      <c r="B7" s="2">
        <f>A7*Scenarios!C3/60*Scenarios!C4+Scenarios!C5*Scenarios!C6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Volume 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2026-07-20T14:51:52Z</dcterms:created>
  <dcterms:modified xsi:type="dcterms:W3CDTF">2026-07-20T14:51:52Z</dcterms:modified>
</cp:coreProperties>
</file>